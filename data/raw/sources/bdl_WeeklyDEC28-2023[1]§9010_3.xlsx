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P:\WAGG\Wagg-J Internet\2023\"/>
    </mc:Choice>
  </mc:AlternateContent>
  <bookViews>
    <workbookView xWindow="0" yWindow="0" windowWidth="14376" windowHeight="4620"/>
  </bookViews>
  <sheets>
    <sheet name="Money Supply" sheetId="1" r:id="rId1"/>
  </sheets>
  <definedNames>
    <definedName name="_xlnm.Print_Area" localSheetId="0">'Money Supply'!$A$1:$E$36</definedName>
    <definedName name="_xlnm.Print_Titles" localSheetId="0">'Money Supply'!$1:$15</definedName>
  </definedNames>
  <calcPr calcId="162913"/>
</workbook>
</file>

<file path=xl/calcChain.xml><?xml version="1.0" encoding="utf-8"?>
<calcChain xmlns="http://schemas.openxmlformats.org/spreadsheetml/2006/main">
  <c r="E6" i="1" l="1"/>
  <c r="E7" i="1"/>
  <c r="E8" i="1"/>
  <c r="E5" i="1"/>
</calcChain>
</file>

<file path=xl/sharedStrings.xml><?xml version="1.0" encoding="utf-8"?>
<sst xmlns="http://schemas.openxmlformats.org/spreadsheetml/2006/main" count="48" uniqueCount="41">
  <si>
    <t xml:space="preserve">BANQUE DU LIBAN </t>
  </si>
  <si>
    <t>MONEY SUPPLY</t>
  </si>
  <si>
    <t>M1 = Currency in Circulation + Demand Deposits in LBP</t>
  </si>
  <si>
    <t xml:space="preserve">M2 = M1 + Other deposits in LBP </t>
  </si>
  <si>
    <t xml:space="preserve">M3 = M2 + Deposits in FX </t>
  </si>
  <si>
    <t>M4 = M3 + TBs held by non banking system including accrued interests</t>
  </si>
  <si>
    <t xml:space="preserve">M1 </t>
  </si>
  <si>
    <t xml:space="preserve">M2 </t>
  </si>
  <si>
    <t>M3</t>
  </si>
  <si>
    <t>M4</t>
  </si>
  <si>
    <t>Cours du dollar</t>
  </si>
  <si>
    <t>USD Exchange Rate</t>
  </si>
  <si>
    <t>سوق القطع</t>
  </si>
  <si>
    <t>M1</t>
  </si>
  <si>
    <t>M 1</t>
  </si>
  <si>
    <t>M 2</t>
  </si>
  <si>
    <t xml:space="preserve">M 3 </t>
  </si>
  <si>
    <t xml:space="preserve">M 4 </t>
  </si>
  <si>
    <t>Change Over Week</t>
  </si>
  <si>
    <r>
      <t>1. Effective February 1</t>
    </r>
    <r>
      <rPr>
        <vertAlign val="superscript"/>
        <sz val="12"/>
        <rFont val="Calibri"/>
        <family val="2"/>
        <scheme val="minor"/>
      </rPr>
      <t>st</t>
    </r>
    <r>
      <rPr>
        <sz val="12"/>
        <rFont val="Calibri"/>
        <family val="2"/>
        <scheme val="minor"/>
      </rPr>
      <t xml:space="preserve"> 2023, the official exchange rate has been set at 15 000 LBP per dollar</t>
    </r>
  </si>
  <si>
    <r>
      <t>A partir du 1</t>
    </r>
    <r>
      <rPr>
        <vertAlign val="superscript"/>
        <sz val="12"/>
        <rFont val="Calibri"/>
        <family val="2"/>
        <scheme val="minor"/>
      </rPr>
      <t>er</t>
    </r>
    <r>
      <rPr>
        <sz val="12"/>
        <rFont val="Calibri"/>
        <family val="2"/>
        <scheme val="minor"/>
      </rPr>
      <t xml:space="preserve"> février 2023, le taux de change officiel a été fixé à 15 000 livres pour un dollar. </t>
    </r>
  </si>
  <si>
    <t>ابتداءً من أول شباط 2023، تمّ تحديد السعر الصرف الرسمي بـــــــ 000 15 ليرة مقابل الدولار.</t>
  </si>
  <si>
    <t>2. Discrepancies are due to rounding</t>
  </si>
  <si>
    <t>3. Definitions</t>
  </si>
  <si>
    <r>
      <t>Effective February 1</t>
    </r>
    <r>
      <rPr>
        <vertAlign val="superscript"/>
        <sz val="12"/>
        <rFont val="Calibri"/>
        <family val="2"/>
        <scheme val="minor"/>
      </rPr>
      <t>st</t>
    </r>
    <r>
      <rPr>
        <sz val="12"/>
        <rFont val="Calibri"/>
        <family val="2"/>
        <scheme val="minor"/>
      </rPr>
      <t>, 2023 the official exchange rate has been set at 15,000 LBP per dollar.</t>
    </r>
  </si>
  <si>
    <t>in billions of LBP</t>
  </si>
  <si>
    <t>Week of 22 to 28 December 2023</t>
  </si>
  <si>
    <t>Semaine du 22 au 28 Décembre 2023</t>
  </si>
  <si>
    <t>الأسبوع الممتد من 22 إلى 28 كانون الأول 2023</t>
  </si>
  <si>
    <t>Term and saving deposits in LBP, M2-M1, progressed by LBP 2.68 billion during the week. M2 registered a decrease of 14.19% on a year-on-year basis.</t>
  </si>
  <si>
    <t>Deposits denominated in foreign currencies, M3-M2, increased by USD 164.19 million compared to the previous week.</t>
  </si>
  <si>
    <t>The non-banking sector Treasury bills portfolio, went up by LBP 1,387.45 billion during the week.</t>
  </si>
  <si>
    <t>M1 expanded by LBP 383.71 billion during the week of 22 to 28 December 2023, due to an increase in currency in circulation of LBP 1,880.91 billion and a decrease in demand deposits of LBP 1,497.20 billion. M1 registered a negative growth of 15.20% on a year-on-year basis.</t>
  </si>
  <si>
    <t>Les dépôts d'épargne en livres M2-M1 ont progressé de 2,68 milliards de livres, au cours de cette semaine. Sur un an, l’agrégat M2 a enregistré une baisse de 14,19%.</t>
  </si>
  <si>
    <t>Les dépôts en devises M3-M2 ont augmenté de 164,19 millions de dollars par rapport à la semaine précédente.</t>
  </si>
  <si>
    <t>سجلت محفظة سندات الخزينة المكتتبة من قبل القطاع الغير مصرفي ارتفاعاً بقيمة 1387,45 مليار ليرة خلال الأسبوع.</t>
  </si>
  <si>
    <t>ارتفعت الودائع بالعملات الأجنبية M3-M2 بقيمة  164,19 مليون دولار مقارنة بالأسبوع السابق.</t>
  </si>
  <si>
    <t>ازدادت الودائع الادخارية بالليرة M2-M1 بقيمة 2,68 مليار ليرة خلال هذا الأسبوع. وسجلت الكتلة النقدية بالليرة M2، على مدار سنة، انخفاضاً بنسبة 14,19٪.</t>
  </si>
  <si>
    <t>توسعت السيولة الجاهزة بالليرة M1 بقيمة 383,71 مليار ليرة خلال الأسبوع الممتد من 22 إلى 28 كانون الأول 2023، نتيجة ارتفاع حجم النقد المتداول بقيمة 1880,91 مليار ليرة وانخفاض حجم الودائع تحت الطلب بقيمة 1497,20 مليار ليرة . تراجعت  الكتلة النقدية M1، على مدار سنة، بنسبة 15,20٪.</t>
  </si>
  <si>
    <t>Le portefeuille de bons du Trésor souscrit par le secteur non bancaire, a enregistré une hausse de 1 387,45 milliards de livres au cours de la semaine.</t>
  </si>
  <si>
    <t>Les disponibilités monétaires en livres M1 se sont accrues de 383,71 milliards de livres au cours de la semaine du 22 au 28 Décembre 2023, sous l'effet d'une hausse des billets en circulation de 1 880,91 milliards de livres et d'une baisse des dépôts à vue de 1 497,20 milliards de livres. Sur un an, l’agrégat M1 a régressé de 15,20%.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</si>
</sst>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sz val="10"/>
      <name val="Arial"/>
    </font>
    <font>
      <sz val="12"/>
      <name val="Calibri"/>
      <family val="2"/>
      <scheme val="minor"/>
    </font>
    <font>
      <b/>
      <i/>
      <sz val="12"/>
      <name val="Calibri"/>
      <family val="2"/>
      <scheme val="minor"/>
    </font>
    <font>
      <b/>
      <sz val="12"/>
      <name val="Calibri"/>
      <family val="2"/>
      <scheme val="minor"/>
    </font>
    <font>
      <i/>
      <sz val="12"/>
      <name val="Calibri"/>
      <family val="2"/>
      <scheme val="minor"/>
    </font>
    <font>
      <vertAlign val="superscript"/>
      <sz val="12"/>
      <name val="Calibri"/>
      <family val="2"/>
      <scheme val="minor"/>
    </font>
    <font>
      <b/>
      <sz val="14"/>
      <name val="Calibri"/>
      <family val="2"/>
      <scheme val="minor"/>
    </font>
    <font>
      <sz val="10"/>
      <name val="Arial"/>
      <family val="2"/>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7">
    <border>
      <left/>
      <right/>
      <top/>
      <bottom/>
      <diagonal/>
    </border>
    <border>
      <left/>
      <right/>
      <top/>
      <bottom style="thin">
        <color indexed="64"/>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s>
  <cellStyleXfs count="2">
    <xf numFmtId="0" fontId="0" fillId="0" borderId="0"/>
    <xf numFmtId="9" fontId="7" fillId="0" borderId="0" applyFont="0" applyFill="0" applyBorder="0" applyAlignment="0" applyProtection="0"/>
  </cellStyleXfs>
  <cellXfs count="35">
    <xf numFmtId="0" fontId="0" fillId="0" borderId="0" xfId="0"/>
    <xf numFmtId="0" fontId="1" fillId="0" borderId="0" xfId="0" applyFont="1" applyAlignment="1">
      <alignment vertical="center"/>
    </xf>
    <xf numFmtId="17" fontId="3" fillId="0" borderId="0" xfId="0" applyNumberFormat="1" applyFont="1" applyAlignment="1">
      <alignment vertical="center"/>
    </xf>
    <xf numFmtId="0" fontId="2" fillId="0" borderId="0" xfId="0" applyFont="1" applyAlignment="1">
      <alignment vertical="center"/>
    </xf>
    <xf numFmtId="0" fontId="4" fillId="0" borderId="0" xfId="0" applyFont="1" applyAlignment="1">
      <alignment vertical="center"/>
    </xf>
    <xf numFmtId="3" fontId="1" fillId="0" borderId="0" xfId="0" applyNumberFormat="1" applyFont="1" applyAlignment="1">
      <alignment vertical="center"/>
    </xf>
    <xf numFmtId="0" fontId="3" fillId="0" borderId="0" xfId="0" applyFont="1" applyAlignment="1">
      <alignment vertical="center"/>
    </xf>
    <xf numFmtId="0" fontId="4" fillId="0" borderId="0" xfId="0" applyFont="1" applyAlignment="1">
      <alignment horizontal="center"/>
    </xf>
    <xf numFmtId="0" fontId="1" fillId="0" borderId="0" xfId="0" applyFont="1" applyBorder="1" applyAlignment="1">
      <alignment vertical="center"/>
    </xf>
    <xf numFmtId="15" fontId="3" fillId="2" borderId="4" xfId="0" applyNumberFormat="1" applyFont="1" applyFill="1" applyBorder="1" applyAlignment="1">
      <alignment horizontal="center" vertical="center"/>
    </xf>
    <xf numFmtId="17" fontId="4" fillId="2" borderId="3" xfId="0" applyNumberFormat="1" applyFont="1" applyFill="1" applyBorder="1" applyAlignment="1">
      <alignment horizontal="center" vertical="center"/>
    </xf>
    <xf numFmtId="0" fontId="3" fillId="3" borderId="0" xfId="0" applyFont="1" applyFill="1" applyBorder="1" applyAlignment="1">
      <alignment horizontal="justify" vertical="center" wrapText="1"/>
    </xf>
    <xf numFmtId="0" fontId="3" fillId="3" borderId="1" xfId="0" applyFont="1" applyFill="1" applyBorder="1" applyAlignment="1">
      <alignment horizontal="left" vertical="center" wrapText="1"/>
    </xf>
    <xf numFmtId="0" fontId="3" fillId="3" borderId="0" xfId="0" applyFont="1" applyFill="1" applyBorder="1" applyAlignment="1">
      <alignment horizontal="right" vertical="center" wrapText="1" readingOrder="1"/>
    </xf>
    <xf numFmtId="0" fontId="3" fillId="3" borderId="0" xfId="0" applyFont="1" applyFill="1" applyBorder="1" applyAlignment="1">
      <alignment horizontal="right" vertical="center" wrapText="1"/>
    </xf>
    <xf numFmtId="0" fontId="3" fillId="3" borderId="6" xfId="0" applyFont="1" applyFill="1" applyBorder="1" applyAlignment="1">
      <alignment horizontal="right" vertical="center" wrapText="1"/>
    </xf>
    <xf numFmtId="4" fontId="4" fillId="0" borderId="0" xfId="0" applyNumberFormat="1" applyFont="1" applyAlignment="1">
      <alignment vertical="center"/>
    </xf>
    <xf numFmtId="3" fontId="1" fillId="0" borderId="4" xfId="0" applyNumberFormat="1" applyFont="1" applyFill="1" applyBorder="1" applyAlignment="1">
      <alignment horizontal="right" vertical="center" indent="3"/>
    </xf>
    <xf numFmtId="0" fontId="3" fillId="3" borderId="0" xfId="0" applyFont="1" applyFill="1" applyBorder="1" applyAlignment="1">
      <alignment horizontal="left" vertical="center" wrapText="1"/>
    </xf>
    <xf numFmtId="0" fontId="3" fillId="3" borderId="3" xfId="0" applyFont="1" applyFill="1" applyBorder="1" applyAlignment="1">
      <alignment horizontal="left" vertical="center" indent="2"/>
    </xf>
    <xf numFmtId="4" fontId="1" fillId="0" borderId="0" xfId="0" applyNumberFormat="1" applyFont="1" applyAlignment="1">
      <alignment horizontal="center" vertical="center"/>
    </xf>
    <xf numFmtId="10" fontId="1" fillId="0" borderId="0" xfId="1" applyNumberFormat="1" applyFont="1" applyAlignment="1">
      <alignment vertical="center"/>
    </xf>
    <xf numFmtId="3" fontId="4" fillId="0" borderId="0" xfId="0" applyNumberFormat="1" applyFont="1" applyAlignment="1">
      <alignment vertical="center"/>
    </xf>
    <xf numFmtId="164" fontId="1" fillId="0" borderId="0" xfId="0" applyNumberFormat="1" applyFont="1" applyAlignment="1">
      <alignment vertical="center"/>
    </xf>
    <xf numFmtId="4" fontId="1" fillId="0" borderId="4" xfId="0" applyNumberFormat="1" applyFont="1" applyFill="1" applyBorder="1" applyAlignment="1">
      <alignment horizontal="right" vertical="center" indent="4"/>
    </xf>
    <xf numFmtId="4" fontId="1" fillId="0" borderId="0" xfId="0" applyNumberFormat="1" applyFont="1" applyAlignment="1">
      <alignment vertical="center"/>
    </xf>
    <xf numFmtId="0" fontId="6" fillId="0" borderId="0" xfId="0" applyFont="1" applyAlignment="1">
      <alignment horizontal="center"/>
    </xf>
    <xf numFmtId="0" fontId="6" fillId="0" borderId="0" xfId="0" applyFont="1" applyAlignment="1">
      <alignment horizontal="center" vertical="top"/>
    </xf>
    <xf numFmtId="0" fontId="1" fillId="0" borderId="5" xfId="0" applyFont="1" applyBorder="1" applyAlignment="1">
      <alignment horizontal="left" vertical="center" wrapText="1"/>
    </xf>
    <xf numFmtId="0" fontId="1" fillId="0" borderId="0" xfId="0" applyFont="1" applyBorder="1" applyAlignment="1">
      <alignment horizontal="right" vertical="center" wrapText="1"/>
    </xf>
    <xf numFmtId="0" fontId="1" fillId="0" borderId="6" xfId="0" applyFont="1" applyBorder="1" applyAlignment="1">
      <alignment horizontal="right" vertical="center" wrapText="1"/>
    </xf>
    <xf numFmtId="0" fontId="6" fillId="2" borderId="2" xfId="0" applyFont="1" applyFill="1" applyBorder="1" applyAlignment="1">
      <alignment horizontal="center" vertical="center"/>
    </xf>
    <xf numFmtId="0" fontId="1" fillId="0" borderId="0" xfId="0" applyFont="1" applyBorder="1" applyAlignment="1">
      <alignment horizontal="left" vertical="center" wrapText="1"/>
    </xf>
    <xf numFmtId="0" fontId="1" fillId="0" borderId="1" xfId="0" applyFont="1" applyBorder="1" applyAlignment="1">
      <alignment horizontal="left" vertical="center" wrapText="1"/>
    </xf>
    <xf numFmtId="0" fontId="1" fillId="0" borderId="5" xfId="0" applyFont="1" applyBorder="1" applyAlignment="1">
      <alignment horizontal="right"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36"/>
  <sheetViews>
    <sheetView showGridLines="0" tabSelected="1" topLeftCell="A17" zoomScale="140" zoomScaleNormal="140" workbookViewId="0">
      <selection activeCell="B20" sqref="B20:E20"/>
    </sheetView>
  </sheetViews>
  <sheetFormatPr defaultColWidth="9.109375" defaultRowHeight="15.6" x14ac:dyDescent="0.25"/>
  <cols>
    <col min="1" max="1" width="17.109375" style="6" customWidth="1"/>
    <col min="2" max="5" width="20.109375" style="1" customWidth="1"/>
    <col min="6" max="6" width="12" style="1" bestFit="1" customWidth="1"/>
    <col min="7" max="7" width="9.109375" style="1"/>
    <col min="8" max="8" width="10.109375" style="1" bestFit="1" customWidth="1"/>
    <col min="9" max="16384" width="9.109375" style="1"/>
  </cols>
  <sheetData>
    <row r="1" spans="1:10" ht="22.5" customHeight="1" x14ac:dyDescent="0.35">
      <c r="A1" s="26" t="s">
        <v>0</v>
      </c>
      <c r="B1" s="26"/>
      <c r="C1" s="26"/>
      <c r="D1" s="26"/>
      <c r="E1" s="26"/>
    </row>
    <row r="2" spans="1:10" ht="18" x14ac:dyDescent="0.25">
      <c r="A2" s="27" t="s">
        <v>1</v>
      </c>
      <c r="B2" s="27"/>
      <c r="C2" s="27"/>
      <c r="D2" s="27"/>
      <c r="E2" s="27"/>
    </row>
    <row r="3" spans="1:10" ht="37.5" customHeight="1" x14ac:dyDescent="0.3">
      <c r="A3" s="3"/>
      <c r="C3" s="7"/>
    </row>
    <row r="4" spans="1:10" s="2" customFormat="1" ht="36" customHeight="1" x14ac:dyDescent="0.25">
      <c r="A4" s="10" t="s">
        <v>25</v>
      </c>
      <c r="B4" s="9">
        <v>44923</v>
      </c>
      <c r="C4" s="9">
        <v>45281</v>
      </c>
      <c r="D4" s="9">
        <v>45288</v>
      </c>
      <c r="E4" s="9" t="s">
        <v>18</v>
      </c>
    </row>
    <row r="5" spans="1:10" ht="18" customHeight="1" x14ac:dyDescent="0.25">
      <c r="A5" s="19" t="s">
        <v>14</v>
      </c>
      <c r="B5" s="17">
        <v>97909.213000000003</v>
      </c>
      <c r="C5" s="17">
        <v>82644.19</v>
      </c>
      <c r="D5" s="17">
        <v>83027.895000000004</v>
      </c>
      <c r="E5" s="24">
        <f>D5-C5</f>
        <v>383.70500000000175</v>
      </c>
      <c r="F5" s="21"/>
    </row>
    <row r="6" spans="1:10" ht="18" customHeight="1" x14ac:dyDescent="0.25">
      <c r="A6" s="19" t="s">
        <v>15</v>
      </c>
      <c r="B6" s="17">
        <v>115716.265</v>
      </c>
      <c r="C6" s="17">
        <v>98911.323999999993</v>
      </c>
      <c r="D6" s="17">
        <v>99297.709000000003</v>
      </c>
      <c r="E6" s="24">
        <f t="shared" ref="E6:E8" si="0">D6-C6</f>
        <v>386.38500000000931</v>
      </c>
      <c r="F6" s="21"/>
      <c r="H6" s="23"/>
    </row>
    <row r="7" spans="1:10" ht="18" customHeight="1" x14ac:dyDescent="0.25">
      <c r="A7" s="19" t="s">
        <v>16</v>
      </c>
      <c r="B7" s="17">
        <v>228812.84</v>
      </c>
      <c r="C7" s="17">
        <v>1151365.5049999999</v>
      </c>
      <c r="D7" s="17">
        <v>1154214.733</v>
      </c>
      <c r="E7" s="24">
        <f t="shared" si="0"/>
        <v>2849.2280000001192</v>
      </c>
      <c r="F7" s="21"/>
      <c r="H7" s="5"/>
      <c r="J7" s="5"/>
    </row>
    <row r="8" spans="1:10" ht="18" customHeight="1" x14ac:dyDescent="0.25">
      <c r="A8" s="19" t="s">
        <v>17</v>
      </c>
      <c r="B8" s="17">
        <v>247015.21400000001</v>
      </c>
      <c r="C8" s="17">
        <v>1175202.9439999999</v>
      </c>
      <c r="D8" s="17">
        <v>1179439.618</v>
      </c>
      <c r="E8" s="24">
        <f t="shared" si="0"/>
        <v>4236.6740000001155</v>
      </c>
      <c r="F8" s="21"/>
      <c r="G8" s="5"/>
      <c r="H8" s="5"/>
      <c r="J8" s="5"/>
    </row>
    <row r="9" spans="1:10" s="4" customFormat="1" ht="15.75" customHeight="1" x14ac:dyDescent="0.25">
      <c r="D9" s="16"/>
      <c r="E9" s="16"/>
      <c r="F9" s="16"/>
      <c r="H9" s="22"/>
      <c r="J9" s="22"/>
    </row>
    <row r="10" spans="1:10" ht="26.25" customHeight="1" x14ac:dyDescent="0.25">
      <c r="A10" s="1" t="s">
        <v>19</v>
      </c>
      <c r="E10" s="20"/>
      <c r="F10" s="5"/>
    </row>
    <row r="11" spans="1:10" ht="26.25" customHeight="1" x14ac:dyDescent="0.25">
      <c r="A11" s="1" t="s">
        <v>22</v>
      </c>
      <c r="E11" s="20"/>
      <c r="F11" s="5"/>
      <c r="G11" s="5"/>
      <c r="H11" s="25"/>
    </row>
    <row r="12" spans="1:10" ht="18.75" customHeight="1" x14ac:dyDescent="0.25">
      <c r="A12" s="1" t="s">
        <v>23</v>
      </c>
      <c r="B12" s="1" t="s">
        <v>2</v>
      </c>
      <c r="E12" s="20"/>
    </row>
    <row r="13" spans="1:10" ht="18.75" customHeight="1" x14ac:dyDescent="0.25">
      <c r="A13" s="1"/>
      <c r="B13" s="1" t="s">
        <v>3</v>
      </c>
      <c r="D13" s="5"/>
      <c r="E13" s="20"/>
      <c r="F13" s="5"/>
    </row>
    <row r="14" spans="1:10" ht="18.75" customHeight="1" x14ac:dyDescent="0.25">
      <c r="A14" s="1"/>
      <c r="B14" s="1" t="s">
        <v>4</v>
      </c>
      <c r="E14" s="20"/>
    </row>
    <row r="15" spans="1:10" ht="18.75" customHeight="1" x14ac:dyDescent="0.25">
      <c r="A15" s="1"/>
      <c r="B15" s="1" t="s">
        <v>5</v>
      </c>
      <c r="E15" s="5"/>
    </row>
    <row r="16" spans="1:10" ht="37.5" customHeight="1" x14ac:dyDescent="0.25"/>
    <row r="17" spans="1:8" ht="30" customHeight="1" x14ac:dyDescent="0.25">
      <c r="A17" s="31" t="s">
        <v>26</v>
      </c>
      <c r="B17" s="31"/>
      <c r="C17" s="31"/>
      <c r="D17" s="31"/>
      <c r="E17" s="31"/>
    </row>
    <row r="18" spans="1:8" ht="67.5" customHeight="1" x14ac:dyDescent="0.25">
      <c r="A18" s="18" t="s">
        <v>6</v>
      </c>
      <c r="B18" s="28" t="s">
        <v>32</v>
      </c>
      <c r="C18" s="28"/>
      <c r="D18" s="28"/>
      <c r="E18" s="28"/>
    </row>
    <row r="19" spans="1:8" ht="41.25" customHeight="1" x14ac:dyDescent="0.25">
      <c r="A19" s="18" t="s">
        <v>7</v>
      </c>
      <c r="B19" s="32" t="s">
        <v>29</v>
      </c>
      <c r="C19" s="32"/>
      <c r="D19" s="32"/>
      <c r="E19" s="32"/>
    </row>
    <row r="20" spans="1:8" ht="41.25" customHeight="1" x14ac:dyDescent="0.25">
      <c r="A20" s="18" t="s">
        <v>8</v>
      </c>
      <c r="B20" s="32" t="s">
        <v>30</v>
      </c>
      <c r="C20" s="32"/>
      <c r="D20" s="32"/>
      <c r="E20" s="32"/>
    </row>
    <row r="21" spans="1:8" ht="41.25" customHeight="1" x14ac:dyDescent="0.25">
      <c r="A21" s="18" t="s">
        <v>9</v>
      </c>
      <c r="B21" s="32" t="s">
        <v>31</v>
      </c>
      <c r="C21" s="32"/>
      <c r="D21" s="32"/>
      <c r="E21" s="32"/>
    </row>
    <row r="22" spans="1:8" ht="41.25" customHeight="1" x14ac:dyDescent="0.25">
      <c r="A22" s="12" t="s">
        <v>11</v>
      </c>
      <c r="B22" s="33" t="s">
        <v>24</v>
      </c>
      <c r="C22" s="33"/>
      <c r="D22" s="33"/>
      <c r="E22" s="33"/>
    </row>
    <row r="23" spans="1:8" ht="37.5" customHeight="1" x14ac:dyDescent="0.25"/>
    <row r="24" spans="1:8" ht="30" customHeight="1" x14ac:dyDescent="0.25">
      <c r="A24" s="31" t="s">
        <v>27</v>
      </c>
      <c r="B24" s="31"/>
      <c r="C24" s="31"/>
      <c r="D24" s="31"/>
      <c r="E24" s="31"/>
    </row>
    <row r="25" spans="1:8" ht="86.25" customHeight="1" x14ac:dyDescent="0.25">
      <c r="A25" s="11" t="s">
        <v>6</v>
      </c>
      <c r="B25" s="28" t="s">
        <v>40</v>
      </c>
      <c r="C25" s="28"/>
      <c r="D25" s="28"/>
      <c r="E25" s="28"/>
    </row>
    <row r="26" spans="1:8" ht="41.25" customHeight="1" x14ac:dyDescent="0.25">
      <c r="A26" s="11" t="s">
        <v>7</v>
      </c>
      <c r="B26" s="32" t="s">
        <v>33</v>
      </c>
      <c r="C26" s="32"/>
      <c r="D26" s="32"/>
      <c r="E26" s="32"/>
    </row>
    <row r="27" spans="1:8" ht="41.25" customHeight="1" x14ac:dyDescent="0.25">
      <c r="A27" s="11" t="s">
        <v>8</v>
      </c>
      <c r="B27" s="32" t="s">
        <v>34</v>
      </c>
      <c r="C27" s="32"/>
      <c r="D27" s="32"/>
      <c r="E27" s="32"/>
    </row>
    <row r="28" spans="1:8" ht="41.25" customHeight="1" x14ac:dyDescent="0.25">
      <c r="A28" s="11" t="s">
        <v>9</v>
      </c>
      <c r="B28" s="32" t="s">
        <v>39</v>
      </c>
      <c r="C28" s="32"/>
      <c r="D28" s="32"/>
      <c r="E28" s="32"/>
    </row>
    <row r="29" spans="1:8" ht="41.25" customHeight="1" x14ac:dyDescent="0.25">
      <c r="A29" s="12" t="s">
        <v>10</v>
      </c>
      <c r="B29" s="33" t="s">
        <v>20</v>
      </c>
      <c r="C29" s="33"/>
      <c r="D29" s="33"/>
      <c r="E29" s="33"/>
      <c r="H29" s="8"/>
    </row>
    <row r="30" spans="1:8" ht="37.5" customHeight="1" x14ac:dyDescent="0.25"/>
    <row r="31" spans="1:8" ht="30" customHeight="1" x14ac:dyDescent="0.25">
      <c r="A31" s="31" t="s">
        <v>28</v>
      </c>
      <c r="B31" s="31"/>
      <c r="C31" s="31"/>
      <c r="D31" s="31"/>
      <c r="E31" s="31"/>
    </row>
    <row r="32" spans="1:8" ht="67.5" customHeight="1" x14ac:dyDescent="0.25">
      <c r="A32" s="34" t="s">
        <v>38</v>
      </c>
      <c r="B32" s="34"/>
      <c r="C32" s="34"/>
      <c r="D32" s="34"/>
      <c r="E32" s="13" t="s">
        <v>13</v>
      </c>
    </row>
    <row r="33" spans="1:5" ht="45" customHeight="1" x14ac:dyDescent="0.25">
      <c r="A33" s="29" t="s">
        <v>37</v>
      </c>
      <c r="B33" s="29"/>
      <c r="C33" s="29"/>
      <c r="D33" s="29"/>
      <c r="E33" s="14" t="s">
        <v>7</v>
      </c>
    </row>
    <row r="34" spans="1:5" ht="37.5" customHeight="1" x14ac:dyDescent="0.25">
      <c r="A34" s="29" t="s">
        <v>36</v>
      </c>
      <c r="B34" s="29"/>
      <c r="C34" s="29"/>
      <c r="D34" s="29"/>
      <c r="E34" s="14" t="s">
        <v>8</v>
      </c>
    </row>
    <row r="35" spans="1:5" ht="45" customHeight="1" x14ac:dyDescent="0.25">
      <c r="A35" s="29" t="s">
        <v>35</v>
      </c>
      <c r="B35" s="29"/>
      <c r="C35" s="29"/>
      <c r="D35" s="29"/>
      <c r="E35" s="14" t="s">
        <v>9</v>
      </c>
    </row>
    <row r="36" spans="1:5" ht="37.5" customHeight="1" x14ac:dyDescent="0.25">
      <c r="A36" s="30" t="s">
        <v>21</v>
      </c>
      <c r="B36" s="30"/>
      <c r="C36" s="30"/>
      <c r="D36" s="30"/>
      <c r="E36" s="15" t="s">
        <v>12</v>
      </c>
    </row>
  </sheetData>
  <mergeCells count="20">
    <mergeCell ref="A35:D35"/>
    <mergeCell ref="A36:D36"/>
    <mergeCell ref="A17:E17"/>
    <mergeCell ref="B18:E18"/>
    <mergeCell ref="B19:E19"/>
    <mergeCell ref="B27:E27"/>
    <mergeCell ref="B28:E28"/>
    <mergeCell ref="B29:E29"/>
    <mergeCell ref="A24:E24"/>
    <mergeCell ref="B26:E26"/>
    <mergeCell ref="B22:E22"/>
    <mergeCell ref="B21:E21"/>
    <mergeCell ref="B20:E20"/>
    <mergeCell ref="A31:E31"/>
    <mergeCell ref="A32:D32"/>
    <mergeCell ref="A1:E1"/>
    <mergeCell ref="A2:E2"/>
    <mergeCell ref="B25:E25"/>
    <mergeCell ref="A33:D33"/>
    <mergeCell ref="A34:D34"/>
  </mergeCells>
  <phoneticPr fontId="0" type="noConversion"/>
  <printOptions horizontalCentered="1"/>
  <pageMargins left="0.23622047244094499" right="0.23622047244094499" top="1.2" bottom="0.74803149606299202" header="0.5" footer="0.31496062992126"/>
  <pageSetup paperSize="9" scale="95" fitToHeight="2" orientation="portrait" r:id="rId1"/>
  <headerFooter alignWithMargins="0">
    <oddHeader>&amp;L&amp;G&amp;R&amp;"Calibri,Italic"Statistics and Economic Research Department
Monetary Statistics Division</oddHeader>
  </headerFooter>
  <rowBreaks count="2" manualBreakCount="2">
    <brk id="22" max="16383" man="1"/>
    <brk id="29"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Money Supply</vt:lpstr>
      <vt:lpstr>'Money Supply'!Print_Area</vt:lpstr>
      <vt:lpstr>'Money Supply'!Print_Titles</vt:lpstr>
    </vt:vector>
  </TitlesOfParts>
  <Company>BDL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ifares</dc:creator>
  <cp:lastModifiedBy>Samar Younes</cp:lastModifiedBy>
  <cp:lastPrinted>2024-01-04T11:02:37Z</cp:lastPrinted>
  <dcterms:created xsi:type="dcterms:W3CDTF">2007-08-30T08:22:25Z</dcterms:created>
  <dcterms:modified xsi:type="dcterms:W3CDTF">2024-01-04T11:03:17Z</dcterms:modified>
</cp:coreProperties>
</file>